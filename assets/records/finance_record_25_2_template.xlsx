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55" windowHeight="12345" activeTab="4"/>
  </bookViews>
  <sheets>
    <sheet name="param" sheetId="3" r:id="rId1"/>
    <sheet name="2505_full" sheetId="2" r:id="rId2"/>
    <sheet name="2505_rep" sheetId="5" r:id="rId3"/>
    <sheet name="2506_full" sheetId="6" r:id="rId4"/>
    <sheet name="2506_rep" sheetId="7" r:id="rId5"/>
  </sheets>
  <calcPr calcId="144525"/>
</workbook>
</file>

<file path=xl/sharedStrings.xml><?xml version="1.0" encoding="utf-8"?>
<sst xmlns="http://schemas.openxmlformats.org/spreadsheetml/2006/main" count="325" uniqueCount="144">
  <si>
    <t>category_id</t>
  </si>
  <si>
    <t>name</t>
  </si>
  <si>
    <t>icon</t>
  </si>
  <si>
    <t>type</t>
  </si>
  <si>
    <t>sortOrder</t>
  </si>
  <si>
    <t>isDefault</t>
  </si>
  <si>
    <t>isActive</t>
  </si>
  <si>
    <t>createdAt</t>
  </si>
  <si>
    <t>updatedAt</t>
  </si>
  <si>
    <t>餐饮</t>
  </si>
  <si>
    <t>expense</t>
  </si>
  <si>
    <t>交通</t>
  </si>
  <si>
    <t>购物</t>
  </si>
  <si>
    <t>工资</t>
  </si>
  <si>
    <t>income</t>
  </si>
  <si>
    <t>家用</t>
  </si>
  <si>
    <t>账单</t>
  </si>
  <si>
    <t>医疗</t>
  </si>
  <si>
    <t>id</t>
  </si>
  <si>
    <t>general_name</t>
  </si>
  <si>
    <t>description</t>
  </si>
  <si>
    <t>amount</t>
  </si>
  <si>
    <t>created_at</t>
  </si>
  <si>
    <t>2504工资</t>
  </si>
  <si>
    <t>250502-0826</t>
  </si>
  <si>
    <t>2505家用</t>
  </si>
  <si>
    <t>250502-0827</t>
  </si>
  <si>
    <t>交通月票</t>
  </si>
  <si>
    <t>250502-0830</t>
  </si>
  <si>
    <t>游戏</t>
  </si>
  <si>
    <t>游戏礼包</t>
  </si>
  <si>
    <t>250502-1704</t>
  </si>
  <si>
    <t>晚饭</t>
  </si>
  <si>
    <t>250502-1705</t>
  </si>
  <si>
    <t>250503-1645</t>
  </si>
  <si>
    <t>雪糕</t>
  </si>
  <si>
    <t>250502-1645</t>
  </si>
  <si>
    <t>250503-1838</t>
  </si>
  <si>
    <t>2505总体交通费</t>
  </si>
  <si>
    <t>交通费</t>
  </si>
  <si>
    <t>250506-2027</t>
  </si>
  <si>
    <t>午餐晚餐</t>
  </si>
  <si>
    <t>250507-0948</t>
  </si>
  <si>
    <t>250508-1401</t>
  </si>
  <si>
    <t>午餐</t>
  </si>
  <si>
    <t>250509-1402</t>
  </si>
  <si>
    <t>蛋糕</t>
  </si>
  <si>
    <t>250509-1955</t>
  </si>
  <si>
    <t>游戏月卡</t>
  </si>
  <si>
    <t>250510-2116</t>
  </si>
  <si>
    <t>250511-0922</t>
  </si>
  <si>
    <t>午饭</t>
  </si>
  <si>
    <t>250512-1231</t>
  </si>
  <si>
    <t>阅读</t>
  </si>
  <si>
    <t>阅读充值</t>
  </si>
  <si>
    <t>250513-1239</t>
  </si>
  <si>
    <t>250514-1816</t>
  </si>
  <si>
    <t>250515-2202</t>
  </si>
  <si>
    <t>250516-1330</t>
  </si>
  <si>
    <t>小食品</t>
  </si>
  <si>
    <t>网购</t>
  </si>
  <si>
    <t>250516-1937</t>
  </si>
  <si>
    <t>250519-1643</t>
  </si>
  <si>
    <t>250519-1703</t>
  </si>
  <si>
    <t>缴费</t>
  </si>
  <si>
    <t>网络</t>
  </si>
  <si>
    <t>250519-1704</t>
  </si>
  <si>
    <t>电话</t>
  </si>
  <si>
    <t>250517-1704</t>
  </si>
  <si>
    <t>250520-1225</t>
  </si>
  <si>
    <t>250521-1210</t>
  </si>
  <si>
    <t>250521-1211</t>
  </si>
  <si>
    <t>250522-1827</t>
  </si>
  <si>
    <t>午餐小吃</t>
  </si>
  <si>
    <t>250523-1300</t>
  </si>
  <si>
    <t>晚餐</t>
  </si>
  <si>
    <t>250527-1758</t>
  </si>
  <si>
    <t>250528-2017</t>
  </si>
  <si>
    <t>250530-1814</t>
  </si>
  <si>
    <t>bank_account_info</t>
  </si>
  <si>
    <t>month</t>
  </si>
  <si>
    <t>opening_balance</t>
  </si>
  <si>
    <t>closing_balance</t>
  </si>
  <si>
    <t>balance_at_the_moment</t>
  </si>
  <si>
    <t>budget_info</t>
  </si>
  <si>
    <t>category_name</t>
  </si>
  <si>
    <t>budget_name</t>
  </si>
  <si>
    <t>total_spent</t>
  </si>
  <si>
    <t>remaining</t>
  </si>
  <si>
    <t>2505饭钱</t>
  </si>
  <si>
    <t>TOTAL SPENT</t>
  </si>
  <si>
    <t>2505交通</t>
  </si>
  <si>
    <t>TOTAL SAVED FROM BUDGET</t>
  </si>
  <si>
    <t>TOTAL REMAINING</t>
  </si>
  <si>
    <t>EXPECTED CLOSING BALANCE</t>
  </si>
  <si>
    <t>2505电话账单</t>
  </si>
  <si>
    <t>电话账单</t>
  </si>
  <si>
    <t>saving_account</t>
  </si>
  <si>
    <t>expected_saving</t>
  </si>
  <si>
    <t>expected_closing_balance</t>
  </si>
  <si>
    <t>saving_status</t>
  </si>
  <si>
    <t>report_error_rate</t>
  </si>
  <si>
    <t>actual_saving</t>
  </si>
  <si>
    <t>2505工资</t>
  </si>
  <si>
    <t>250602-0954</t>
  </si>
  <si>
    <t>2506家用</t>
  </si>
  <si>
    <t>250604-1259</t>
  </si>
  <si>
    <t>2506交通</t>
  </si>
  <si>
    <t>250602-0953</t>
  </si>
  <si>
    <t>2506账单</t>
  </si>
  <si>
    <t>AI缴费</t>
  </si>
  <si>
    <t>250603-1238</t>
  </si>
  <si>
    <t>250602-1259</t>
  </si>
  <si>
    <t>250603-1300</t>
  </si>
  <si>
    <t>250604-1300</t>
  </si>
  <si>
    <t>250604-1757</t>
  </si>
  <si>
    <t>250605-1241</t>
  </si>
  <si>
    <t>250609-1225</t>
  </si>
  <si>
    <t>250610-1347</t>
  </si>
  <si>
    <t>250611-1347</t>
  </si>
  <si>
    <t>250612-1706</t>
  </si>
  <si>
    <t>250613-1706</t>
  </si>
  <si>
    <t>父亲节蛋糕</t>
  </si>
  <si>
    <t>250614-1711</t>
  </si>
  <si>
    <t>网盘会员</t>
  </si>
  <si>
    <t>250616-1711</t>
  </si>
  <si>
    <t>250617-1414</t>
  </si>
  <si>
    <t>250618-1610</t>
  </si>
  <si>
    <t>明信片</t>
  </si>
  <si>
    <t>250618-1611</t>
  </si>
  <si>
    <t>250619-1547</t>
  </si>
  <si>
    <t>250619-1704</t>
  </si>
  <si>
    <t>250620-1343</t>
  </si>
  <si>
    <t>下午茶</t>
  </si>
  <si>
    <t>250620-1700</t>
  </si>
  <si>
    <t>文具</t>
  </si>
  <si>
    <t>250623-1702</t>
  </si>
  <si>
    <t>250624-1306</t>
  </si>
  <si>
    <t>250625-1256</t>
  </si>
  <si>
    <t>250626-1256</t>
  </si>
  <si>
    <t>250627-1521</t>
  </si>
  <si>
    <t>2506饭钱</t>
  </si>
  <si>
    <t>TOTAL SAVED</t>
  </si>
  <si>
    <t>2506电话账单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</si>
</sst>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22" fontId="0" fillId="0" borderId="0" xfId="0" applyNumberFormat="1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G34" sqref="G34"/>
    </sheetView>
  </sheetViews>
  <sheetFormatPr defaultColWidth="8.88888888888889" defaultRowHeight="15" outlineLevelRow="7"/>
  <cols>
    <col min="1" max="1" width="9.55555555555556" customWidth="1"/>
    <col min="8" max="9" width="12.4444444444444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7">
      <c r="A2">
        <v>1</v>
      </c>
      <c r="B2" t="s">
        <v>9</v>
      </c>
      <c r="D2" t="s">
        <v>10</v>
      </c>
      <c r="E2">
        <v>1</v>
      </c>
      <c r="F2">
        <v>1</v>
      </c>
      <c r="G2">
        <v>1</v>
      </c>
    </row>
    <row r="3" spans="1:7">
      <c r="A3">
        <v>2</v>
      </c>
      <c r="B3" t="s">
        <v>11</v>
      </c>
      <c r="D3" t="s">
        <v>10</v>
      </c>
      <c r="E3">
        <v>2</v>
      </c>
      <c r="F3">
        <v>1</v>
      </c>
      <c r="G3">
        <v>1</v>
      </c>
    </row>
    <row r="4" spans="1:7">
      <c r="A4">
        <v>3</v>
      </c>
      <c r="B4" t="s">
        <v>12</v>
      </c>
      <c r="D4" t="s">
        <v>10</v>
      </c>
      <c r="E4">
        <v>3</v>
      </c>
      <c r="F4">
        <v>1</v>
      </c>
      <c r="G4">
        <v>1</v>
      </c>
    </row>
    <row r="5" spans="1:7">
      <c r="A5">
        <v>4</v>
      </c>
      <c r="B5" t="s">
        <v>13</v>
      </c>
      <c r="D5" t="s">
        <v>14</v>
      </c>
      <c r="E5">
        <v>1</v>
      </c>
      <c r="F5">
        <v>1</v>
      </c>
      <c r="G5">
        <v>1</v>
      </c>
    </row>
    <row r="6" spans="1:7">
      <c r="A6">
        <v>5</v>
      </c>
      <c r="B6" t="s">
        <v>15</v>
      </c>
      <c r="D6" t="s">
        <v>10</v>
      </c>
      <c r="E6">
        <v>5</v>
      </c>
      <c r="F6">
        <v>1</v>
      </c>
      <c r="G6">
        <v>1</v>
      </c>
    </row>
    <row r="7" spans="1:7">
      <c r="A7">
        <v>6</v>
      </c>
      <c r="B7" t="s">
        <v>16</v>
      </c>
      <c r="D7" t="s">
        <v>10</v>
      </c>
      <c r="E7">
        <v>6</v>
      </c>
      <c r="F7">
        <v>1</v>
      </c>
      <c r="G7">
        <v>1</v>
      </c>
    </row>
    <row r="8" spans="1:7">
      <c r="A8">
        <v>7</v>
      </c>
      <c r="B8" t="s">
        <v>17</v>
      </c>
      <c r="D8" t="s">
        <v>10</v>
      </c>
      <c r="E8">
        <v>7</v>
      </c>
      <c r="F8">
        <v>1</v>
      </c>
      <c r="G8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E2" sqref="E2"/>
    </sheetView>
  </sheetViews>
  <sheetFormatPr defaultColWidth="8.88888888888889" defaultRowHeight="15"/>
  <cols>
    <col min="1" max="1" width="8.88888888888889" style="1"/>
    <col min="2" max="2" width="10.2222222222222" style="1" customWidth="1"/>
    <col min="3" max="3" width="13" style="1" customWidth="1"/>
    <col min="4" max="4" width="16.6666666666667" style="1" customWidth="1"/>
    <col min="5" max="5" width="8.88888888888889" style="1"/>
    <col min="6" max="6" width="6" style="1" customWidth="1"/>
    <col min="7" max="7" width="7.55555555555556" style="1" customWidth="1"/>
    <col min="8" max="8" width="11.6666666666667" style="1" customWidth="1"/>
    <col min="9" max="9" width="8.33333333333333" style="1" customWidth="1"/>
    <col min="10" max="10" width="9.33333333333333" style="1" customWidth="1"/>
    <col min="11" max="11" width="12.4444444444444" style="1" customWidth="1"/>
    <col min="12" max="14" width="13" style="1" customWidth="1"/>
    <col min="15" max="15" width="8.33333333333333" style="1" customWidth="1"/>
    <col min="16" max="16" width="6.33333333333333" style="1" customWidth="1"/>
    <col min="17" max="17" width="5.77777777777778" style="1" customWidth="1"/>
    <col min="18" max="18" width="6.44444444444444" style="1" customWidth="1"/>
    <col min="19" max="19" width="5.66666666666667" style="1" customWidth="1"/>
    <col min="20" max="20" width="12.6666666666667" style="1" customWidth="1"/>
    <col min="21" max="22" width="12.4444444444444" style="1"/>
    <col min="23" max="16384" width="8.88888888888889" style="1"/>
  </cols>
  <sheetData>
    <row r="1" spans="1:8">
      <c r="A1" s="1" t="s">
        <v>18</v>
      </c>
      <c r="B1" s="1" t="s">
        <v>0</v>
      </c>
      <c r="C1" s="1" t="s">
        <v>19</v>
      </c>
      <c r="D1" s="1" t="s">
        <v>20</v>
      </c>
      <c r="E1" s="1" t="s">
        <v>21</v>
      </c>
      <c r="F1" s="1" t="s">
        <v>14</v>
      </c>
      <c r="G1" s="1" t="s">
        <v>10</v>
      </c>
      <c r="H1" s="1" t="s">
        <v>22</v>
      </c>
    </row>
    <row r="2" spans="1:10">
      <c r="A2" s="1">
        <v>1</v>
      </c>
      <c r="B2" s="1">
        <v>4</v>
      </c>
      <c r="C2" s="1" t="s">
        <v>23</v>
      </c>
      <c r="D2" s="1" t="s">
        <v>23</v>
      </c>
      <c r="E2" s="1">
        <f ca="1">RANDBETWEEN(20000,30000)</f>
        <v>20526</v>
      </c>
      <c r="F2" s="1">
        <v>1</v>
      </c>
      <c r="H2" s="1" t="s">
        <v>24</v>
      </c>
      <c r="J2" s="2"/>
    </row>
    <row r="3" spans="1:8">
      <c r="A3" s="1">
        <v>2</v>
      </c>
      <c r="B3" s="1">
        <v>5</v>
      </c>
      <c r="C3" s="1" t="s">
        <v>25</v>
      </c>
      <c r="D3" s="1" t="s">
        <v>25</v>
      </c>
      <c r="E3" s="1">
        <f ca="1">-RANDBETWEEN(15,500)</f>
        <v>-45</v>
      </c>
      <c r="G3" s="1">
        <v>1</v>
      </c>
      <c r="H3" s="1" t="s">
        <v>26</v>
      </c>
    </row>
    <row r="4" spans="1:8">
      <c r="A4" s="1">
        <v>3</v>
      </c>
      <c r="B4" s="1">
        <v>2</v>
      </c>
      <c r="C4" s="1" t="s">
        <v>27</v>
      </c>
      <c r="D4" s="1" t="s">
        <v>27</v>
      </c>
      <c r="E4" s="1">
        <f ca="1" t="shared" ref="E4:E13" si="0">-RANDBETWEEN(15,500)</f>
        <v>-150</v>
      </c>
      <c r="G4" s="1">
        <v>1</v>
      </c>
      <c r="H4" s="1" t="s">
        <v>28</v>
      </c>
    </row>
    <row r="5" spans="1:8">
      <c r="A5" s="1">
        <v>4</v>
      </c>
      <c r="B5" s="1">
        <v>3</v>
      </c>
      <c r="C5" s="1" t="s">
        <v>29</v>
      </c>
      <c r="D5" s="1" t="s">
        <v>30</v>
      </c>
      <c r="E5" s="1">
        <f ca="1" t="shared" si="0"/>
        <v>-381</v>
      </c>
      <c r="G5" s="1">
        <v>1</v>
      </c>
      <c r="H5" s="1" t="s">
        <v>31</v>
      </c>
    </row>
    <row r="6" spans="1:8">
      <c r="A6" s="1">
        <v>5</v>
      </c>
      <c r="B6" s="1">
        <v>1</v>
      </c>
      <c r="C6" s="1" t="s">
        <v>9</v>
      </c>
      <c r="D6" s="1" t="s">
        <v>32</v>
      </c>
      <c r="E6" s="1">
        <f ca="1" t="shared" si="0"/>
        <v>-454</v>
      </c>
      <c r="G6" s="1">
        <v>1</v>
      </c>
      <c r="H6" s="1" t="s">
        <v>33</v>
      </c>
    </row>
    <row r="7" spans="1:8">
      <c r="A7" s="1">
        <v>6</v>
      </c>
      <c r="B7" s="1">
        <v>3</v>
      </c>
      <c r="C7" s="1" t="s">
        <v>29</v>
      </c>
      <c r="D7" s="1" t="s">
        <v>30</v>
      </c>
      <c r="E7" s="1">
        <f ca="1">-RANDBETWEEN(15,500)</f>
        <v>-42</v>
      </c>
      <c r="G7" s="1">
        <v>1</v>
      </c>
      <c r="H7" s="1" t="s">
        <v>34</v>
      </c>
    </row>
    <row r="8" spans="1:8">
      <c r="A8" s="1">
        <v>7</v>
      </c>
      <c r="B8" s="1">
        <v>1</v>
      </c>
      <c r="C8" s="1" t="s">
        <v>9</v>
      </c>
      <c r="D8" s="1" t="s">
        <v>35</v>
      </c>
      <c r="E8" s="1">
        <f ca="1" t="shared" si="0"/>
        <v>-61</v>
      </c>
      <c r="G8" s="1">
        <v>1</v>
      </c>
      <c r="H8" s="1" t="s">
        <v>36</v>
      </c>
    </row>
    <row r="9" spans="1:14">
      <c r="A9" s="1">
        <v>8</v>
      </c>
      <c r="B9" s="1">
        <v>1</v>
      </c>
      <c r="C9" s="1" t="s">
        <v>9</v>
      </c>
      <c r="D9" s="1" t="s">
        <v>35</v>
      </c>
      <c r="E9" s="1">
        <f ca="1" t="shared" si="0"/>
        <v>-492</v>
      </c>
      <c r="G9" s="1">
        <v>1</v>
      </c>
      <c r="H9" s="1" t="s">
        <v>37</v>
      </c>
      <c r="K9"/>
      <c r="L9"/>
      <c r="M9"/>
      <c r="N9"/>
    </row>
    <row r="10" spans="1:14">
      <c r="A10" s="1">
        <v>9</v>
      </c>
      <c r="B10" s="1">
        <v>2</v>
      </c>
      <c r="C10" s="1" t="s">
        <v>38</v>
      </c>
      <c r="D10" s="1" t="s">
        <v>39</v>
      </c>
      <c r="E10" s="1">
        <f ca="1" t="shared" si="0"/>
        <v>-276</v>
      </c>
      <c r="G10" s="1">
        <v>1</v>
      </c>
      <c r="H10" s="1" t="s">
        <v>40</v>
      </c>
      <c r="K10"/>
      <c r="M10"/>
      <c r="N10"/>
    </row>
    <row r="11" spans="1:14">
      <c r="A11" s="1">
        <v>10</v>
      </c>
      <c r="B11" s="1">
        <v>1</v>
      </c>
      <c r="C11" s="1" t="s">
        <v>9</v>
      </c>
      <c r="D11" s="1" t="s">
        <v>41</v>
      </c>
      <c r="E11" s="1">
        <f ca="1" t="shared" si="0"/>
        <v>-167</v>
      </c>
      <c r="G11" s="1">
        <v>1</v>
      </c>
      <c r="H11" s="1" t="s">
        <v>40</v>
      </c>
      <c r="K11"/>
      <c r="M11"/>
      <c r="N11"/>
    </row>
    <row r="12" spans="1:14">
      <c r="A12" s="1">
        <v>11</v>
      </c>
      <c r="B12" s="1">
        <v>1</v>
      </c>
      <c r="C12" s="1" t="s">
        <v>9</v>
      </c>
      <c r="D12" s="1" t="s">
        <v>41</v>
      </c>
      <c r="E12" s="1">
        <f ca="1" t="shared" si="0"/>
        <v>-484</v>
      </c>
      <c r="G12" s="1">
        <v>1</v>
      </c>
      <c r="H12" s="1" t="s">
        <v>42</v>
      </c>
      <c r="K12"/>
      <c r="L12"/>
      <c r="M12"/>
      <c r="N12"/>
    </row>
    <row r="13" spans="1:14">
      <c r="A13" s="1">
        <v>12</v>
      </c>
      <c r="B13" s="1">
        <v>1</v>
      </c>
      <c r="C13" s="1" t="s">
        <v>9</v>
      </c>
      <c r="D13" s="1" t="s">
        <v>41</v>
      </c>
      <c r="E13" s="1">
        <f ca="1" t="shared" si="0"/>
        <v>-374</v>
      </c>
      <c r="G13" s="1">
        <v>1</v>
      </c>
      <c r="H13" s="1" t="s">
        <v>43</v>
      </c>
      <c r="K13"/>
      <c r="L13"/>
      <c r="M13"/>
      <c r="N13"/>
    </row>
    <row r="14" spans="1:11">
      <c r="A14" s="1">
        <v>13</v>
      </c>
      <c r="B14" s="1">
        <v>1</v>
      </c>
      <c r="C14" s="1" t="s">
        <v>9</v>
      </c>
      <c r="D14" s="1" t="s">
        <v>44</v>
      </c>
      <c r="E14" s="1">
        <f ca="1" t="shared" ref="E14:E23" si="1">-RANDBETWEEN(15,500)</f>
        <v>-321</v>
      </c>
      <c r="G14" s="1">
        <v>1</v>
      </c>
      <c r="H14" s="1" t="s">
        <v>45</v>
      </c>
      <c r="K14"/>
    </row>
    <row r="15" spans="1:14">
      <c r="A15" s="1">
        <v>14</v>
      </c>
      <c r="B15" s="1">
        <v>1</v>
      </c>
      <c r="C15" s="1" t="s">
        <v>9</v>
      </c>
      <c r="D15" s="1" t="s">
        <v>46</v>
      </c>
      <c r="E15" s="1">
        <f ca="1" t="shared" si="1"/>
        <v>-453</v>
      </c>
      <c r="G15" s="1">
        <v>1</v>
      </c>
      <c r="H15" s="1" t="s">
        <v>47</v>
      </c>
      <c r="K15"/>
      <c r="L15"/>
      <c r="M15"/>
      <c r="N15"/>
    </row>
    <row r="16" spans="1:11">
      <c r="A16" s="1">
        <v>15</v>
      </c>
      <c r="B16" s="1">
        <v>3</v>
      </c>
      <c r="C16" s="1" t="s">
        <v>29</v>
      </c>
      <c r="D16" s="1" t="s">
        <v>48</v>
      </c>
      <c r="E16" s="1">
        <f ca="1" t="shared" si="1"/>
        <v>-428</v>
      </c>
      <c r="G16" s="1">
        <v>1</v>
      </c>
      <c r="H16" s="1" t="s">
        <v>49</v>
      </c>
      <c r="K16"/>
    </row>
    <row r="17" spans="1:8">
      <c r="A17" s="1">
        <v>16</v>
      </c>
      <c r="B17" s="1">
        <v>3</v>
      </c>
      <c r="C17" s="1" t="s">
        <v>29</v>
      </c>
      <c r="D17" s="1" t="s">
        <v>30</v>
      </c>
      <c r="E17" s="1">
        <f ca="1" t="shared" si="1"/>
        <v>-484</v>
      </c>
      <c r="G17" s="1">
        <v>1</v>
      </c>
      <c r="H17" s="1" t="s">
        <v>50</v>
      </c>
    </row>
    <row r="18" spans="1:8">
      <c r="A18" s="1">
        <v>17</v>
      </c>
      <c r="B18" s="1">
        <v>1</v>
      </c>
      <c r="C18" s="1" t="s">
        <v>9</v>
      </c>
      <c r="D18" s="1" t="s">
        <v>51</v>
      </c>
      <c r="E18" s="1">
        <f ca="1" t="shared" si="1"/>
        <v>-397</v>
      </c>
      <c r="G18" s="1">
        <v>1</v>
      </c>
      <c r="H18" s="1" t="s">
        <v>52</v>
      </c>
    </row>
    <row r="19" spans="1:8">
      <c r="A19" s="1">
        <v>18</v>
      </c>
      <c r="B19" s="1">
        <v>3</v>
      </c>
      <c r="C19" s="1" t="s">
        <v>53</v>
      </c>
      <c r="D19" s="1" t="s">
        <v>54</v>
      </c>
      <c r="E19" s="1">
        <f ca="1" t="shared" si="1"/>
        <v>-156</v>
      </c>
      <c r="G19" s="1">
        <v>1</v>
      </c>
      <c r="H19" s="1" t="s">
        <v>55</v>
      </c>
    </row>
    <row r="20" spans="1:8">
      <c r="A20" s="1">
        <v>19</v>
      </c>
      <c r="B20" s="1">
        <v>1</v>
      </c>
      <c r="C20" s="1" t="s">
        <v>9</v>
      </c>
      <c r="D20" s="1" t="s">
        <v>44</v>
      </c>
      <c r="E20" s="1">
        <f ca="1" t="shared" si="1"/>
        <v>-74</v>
      </c>
      <c r="G20" s="1">
        <v>1</v>
      </c>
      <c r="H20" s="1" t="s">
        <v>55</v>
      </c>
    </row>
    <row r="21" spans="1:8">
      <c r="A21" s="1">
        <v>20</v>
      </c>
      <c r="B21" s="1">
        <v>1</v>
      </c>
      <c r="C21" s="1" t="s">
        <v>9</v>
      </c>
      <c r="D21" s="1" t="s">
        <v>44</v>
      </c>
      <c r="E21" s="1">
        <f ca="1" t="shared" si="1"/>
        <v>-472</v>
      </c>
      <c r="G21" s="1">
        <v>1</v>
      </c>
      <c r="H21" s="1" t="s">
        <v>56</v>
      </c>
    </row>
    <row r="22" spans="1:8">
      <c r="A22" s="1">
        <v>21</v>
      </c>
      <c r="B22" s="1">
        <v>1</v>
      </c>
      <c r="C22" s="1" t="s">
        <v>9</v>
      </c>
      <c r="D22" s="1" t="s">
        <v>44</v>
      </c>
      <c r="E22" s="1">
        <f ca="1" t="shared" si="1"/>
        <v>-326</v>
      </c>
      <c r="G22" s="1">
        <v>1</v>
      </c>
      <c r="H22" s="1" t="s">
        <v>57</v>
      </c>
    </row>
    <row r="23" spans="1:8">
      <c r="A23" s="1">
        <v>22</v>
      </c>
      <c r="B23" s="1">
        <v>3</v>
      </c>
      <c r="C23" s="1" t="s">
        <v>29</v>
      </c>
      <c r="D23" s="1" t="s">
        <v>30</v>
      </c>
      <c r="E23" s="1">
        <f ca="1" t="shared" si="1"/>
        <v>-105</v>
      </c>
      <c r="G23" s="1">
        <v>1</v>
      </c>
      <c r="H23" s="1" t="s">
        <v>57</v>
      </c>
    </row>
    <row r="24" spans="1:8">
      <c r="A24" s="1">
        <v>23</v>
      </c>
      <c r="B24" s="1">
        <v>1</v>
      </c>
      <c r="C24" s="1" t="s">
        <v>9</v>
      </c>
      <c r="D24" s="1" t="s">
        <v>44</v>
      </c>
      <c r="E24" s="1">
        <f ca="1" t="shared" ref="E24:E38" si="2">-RANDBETWEEN(15,500)</f>
        <v>-224</v>
      </c>
      <c r="G24" s="1">
        <v>1</v>
      </c>
      <c r="H24" s="1" t="s">
        <v>58</v>
      </c>
    </row>
    <row r="25" spans="1:8">
      <c r="A25" s="1">
        <v>24</v>
      </c>
      <c r="B25" s="1">
        <v>1</v>
      </c>
      <c r="C25" s="1" t="s">
        <v>9</v>
      </c>
      <c r="D25" s="1" t="s">
        <v>59</v>
      </c>
      <c r="E25" s="1">
        <f ca="1" t="shared" si="2"/>
        <v>-449</v>
      </c>
      <c r="G25" s="1">
        <v>1</v>
      </c>
      <c r="H25" s="1" t="s">
        <v>58</v>
      </c>
    </row>
    <row r="26" spans="1:8">
      <c r="A26" s="1">
        <v>25</v>
      </c>
      <c r="B26" s="1">
        <v>3</v>
      </c>
      <c r="C26" s="1" t="s">
        <v>12</v>
      </c>
      <c r="D26" s="1" t="s">
        <v>60</v>
      </c>
      <c r="E26" s="1">
        <f ca="1" t="shared" si="2"/>
        <v>-207</v>
      </c>
      <c r="G26" s="1">
        <v>1</v>
      </c>
      <c r="H26" s="1" t="s">
        <v>61</v>
      </c>
    </row>
    <row r="27" spans="1:8">
      <c r="A27" s="1">
        <v>26</v>
      </c>
      <c r="B27" s="1">
        <v>3</v>
      </c>
      <c r="C27" s="1" t="s">
        <v>12</v>
      </c>
      <c r="D27" s="1" t="s">
        <v>60</v>
      </c>
      <c r="E27" s="1">
        <f ca="1" t="shared" si="2"/>
        <v>-369</v>
      </c>
      <c r="G27" s="1">
        <v>1</v>
      </c>
      <c r="H27" s="1" t="s">
        <v>62</v>
      </c>
    </row>
    <row r="28" spans="1:8">
      <c r="A28" s="1">
        <v>27</v>
      </c>
      <c r="B28" s="1">
        <v>1</v>
      </c>
      <c r="C28" s="1" t="s">
        <v>9</v>
      </c>
      <c r="D28" s="1" t="s">
        <v>44</v>
      </c>
      <c r="E28" s="1">
        <f ca="1" t="shared" si="2"/>
        <v>-117</v>
      </c>
      <c r="G28" s="1">
        <v>1</v>
      </c>
      <c r="H28" s="1" t="s">
        <v>63</v>
      </c>
    </row>
    <row r="29" spans="1:8">
      <c r="A29" s="1">
        <v>28</v>
      </c>
      <c r="B29" s="1">
        <v>6</v>
      </c>
      <c r="C29" s="1" t="s">
        <v>64</v>
      </c>
      <c r="D29" s="1" t="s">
        <v>65</v>
      </c>
      <c r="E29" s="1">
        <f ca="1" t="shared" si="2"/>
        <v>-374</v>
      </c>
      <c r="G29" s="1">
        <v>1</v>
      </c>
      <c r="H29" s="1" t="s">
        <v>66</v>
      </c>
    </row>
    <row r="30" spans="1:11">
      <c r="A30" s="1">
        <v>29</v>
      </c>
      <c r="B30" s="1">
        <v>3</v>
      </c>
      <c r="C30" s="1" t="s">
        <v>12</v>
      </c>
      <c r="D30" s="1" t="s">
        <v>67</v>
      </c>
      <c r="E30" s="1">
        <f ca="1">-RANDBETWEEN(15,500)</f>
        <v>-224</v>
      </c>
      <c r="G30" s="1">
        <v>1</v>
      </c>
      <c r="H30" s="1" t="s">
        <v>68</v>
      </c>
      <c r="K30"/>
    </row>
    <row r="31" spans="1:8">
      <c r="A31" s="1">
        <v>30</v>
      </c>
      <c r="B31" s="1">
        <v>1</v>
      </c>
      <c r="C31" s="1" t="s">
        <v>9</v>
      </c>
      <c r="D31" s="1" t="s">
        <v>44</v>
      </c>
      <c r="E31" s="1">
        <f ca="1" t="shared" si="2"/>
        <v>-401</v>
      </c>
      <c r="G31" s="1">
        <v>1</v>
      </c>
      <c r="H31" s="1" t="s">
        <v>69</v>
      </c>
    </row>
    <row r="32" spans="1:8">
      <c r="A32" s="1">
        <v>31</v>
      </c>
      <c r="B32" s="1">
        <v>3</v>
      </c>
      <c r="C32" s="1" t="s">
        <v>29</v>
      </c>
      <c r="D32" s="1" t="s">
        <v>48</v>
      </c>
      <c r="E32" s="1">
        <f ca="1" t="shared" si="2"/>
        <v>-27</v>
      </c>
      <c r="G32" s="1">
        <v>1</v>
      </c>
      <c r="H32" s="1" t="s">
        <v>70</v>
      </c>
    </row>
    <row r="33" spans="1:8">
      <c r="A33" s="1">
        <v>32</v>
      </c>
      <c r="B33" s="1">
        <v>1</v>
      </c>
      <c r="C33" s="1" t="s">
        <v>9</v>
      </c>
      <c r="D33" s="1" t="s">
        <v>44</v>
      </c>
      <c r="E33" s="1">
        <f ca="1" t="shared" si="2"/>
        <v>-282</v>
      </c>
      <c r="G33" s="1">
        <v>1</v>
      </c>
      <c r="H33" s="1" t="s">
        <v>71</v>
      </c>
    </row>
    <row r="34" spans="1:8">
      <c r="A34" s="1">
        <v>33</v>
      </c>
      <c r="B34" s="1">
        <v>1</v>
      </c>
      <c r="C34" s="1" t="s">
        <v>9</v>
      </c>
      <c r="D34" s="1" t="s">
        <v>41</v>
      </c>
      <c r="E34" s="1">
        <f ca="1" t="shared" si="2"/>
        <v>-257</v>
      </c>
      <c r="G34" s="1">
        <v>1</v>
      </c>
      <c r="H34" s="1" t="s">
        <v>72</v>
      </c>
    </row>
    <row r="35" spans="1:8">
      <c r="A35" s="1">
        <v>34</v>
      </c>
      <c r="B35" s="1">
        <v>1</v>
      </c>
      <c r="C35" s="1" t="s">
        <v>9</v>
      </c>
      <c r="D35" s="1" t="s">
        <v>73</v>
      </c>
      <c r="E35" s="1">
        <f ca="1" t="shared" si="2"/>
        <v>-135</v>
      </c>
      <c r="G35" s="1">
        <v>1</v>
      </c>
      <c r="H35" s="1" t="s">
        <v>74</v>
      </c>
    </row>
    <row r="36" spans="1:8">
      <c r="A36" s="1">
        <v>35</v>
      </c>
      <c r="B36" s="1">
        <v>1</v>
      </c>
      <c r="C36" s="1" t="s">
        <v>9</v>
      </c>
      <c r="D36" s="1" t="s">
        <v>75</v>
      </c>
      <c r="E36" s="1">
        <f ca="1" t="shared" si="2"/>
        <v>-241</v>
      </c>
      <c r="G36" s="1">
        <v>1</v>
      </c>
      <c r="H36" s="1" t="s">
        <v>76</v>
      </c>
    </row>
    <row r="37" spans="1:8">
      <c r="A37" s="1">
        <v>36</v>
      </c>
      <c r="B37" s="1">
        <v>1</v>
      </c>
      <c r="C37" s="1" t="s">
        <v>9</v>
      </c>
      <c r="D37" s="1" t="s">
        <v>75</v>
      </c>
      <c r="E37" s="1">
        <f ca="1" t="shared" si="2"/>
        <v>-34</v>
      </c>
      <c r="G37" s="1">
        <v>1</v>
      </c>
      <c r="H37" s="1" t="s">
        <v>77</v>
      </c>
    </row>
    <row r="38" spans="1:8">
      <c r="A38" s="1">
        <v>37</v>
      </c>
      <c r="B38" s="1">
        <v>1</v>
      </c>
      <c r="C38" s="1" t="s">
        <v>9</v>
      </c>
      <c r="D38" s="1" t="s">
        <v>44</v>
      </c>
      <c r="E38" s="1">
        <f ca="1" t="shared" si="2"/>
        <v>-117</v>
      </c>
      <c r="G38" s="1">
        <v>1</v>
      </c>
      <c r="H38" s="1" t="s">
        <v>78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workbookViewId="0">
      <selection activeCell="F8" sqref="F8:F14"/>
    </sheetView>
  </sheetViews>
  <sheetFormatPr defaultColWidth="8.88888888888889" defaultRowHeight="15"/>
  <cols>
    <col min="1" max="1" width="15.2222222222222" customWidth="1"/>
    <col min="2" max="3" width="13.3333333333333" customWidth="1"/>
    <col min="4" max="4" width="11.5555555555556" customWidth="1"/>
    <col min="6" max="6" width="10.5555555555556" customWidth="1"/>
    <col min="7" max="7" width="11" customWidth="1"/>
    <col min="8" max="8" width="8.77777777777778" customWidth="1"/>
    <col min="11" max="11" width="10.6666666666667" customWidth="1"/>
    <col min="12" max="12" width="12.8888888888889" customWidth="1"/>
    <col min="13" max="13" width="9.22222222222222"/>
    <col min="17" max="18" width="12.4444444444444"/>
  </cols>
  <sheetData>
    <row r="1" spans="1:5">
      <c r="A1" t="s">
        <v>79</v>
      </c>
      <c r="B1" t="s">
        <v>80</v>
      </c>
      <c r="C1" t="s">
        <v>81</v>
      </c>
      <c r="D1" t="s">
        <v>82</v>
      </c>
      <c r="E1" t="s">
        <v>83</v>
      </c>
    </row>
    <row r="2" spans="2:5">
      <c r="B2">
        <v>2505</v>
      </c>
      <c r="C2">
        <v>44001.4</v>
      </c>
      <c r="D2">
        <v>49202.5</v>
      </c>
      <c r="E2">
        <v>49202.5</v>
      </c>
    </row>
    <row r="7" spans="1:9">
      <c r="A7" t="s">
        <v>84</v>
      </c>
      <c r="B7" s="1" t="s">
        <v>0</v>
      </c>
      <c r="C7" s="1" t="s">
        <v>85</v>
      </c>
      <c r="D7" s="1" t="s">
        <v>86</v>
      </c>
      <c r="E7" s="1" t="s">
        <v>20</v>
      </c>
      <c r="F7" s="1" t="s">
        <v>21</v>
      </c>
      <c r="G7" s="1" t="s">
        <v>87</v>
      </c>
      <c r="H7" s="1" t="s">
        <v>88</v>
      </c>
      <c r="I7" s="1"/>
    </row>
    <row r="8" spans="2:13">
      <c r="B8" s="1">
        <v>1</v>
      </c>
      <c r="C8" t="s">
        <v>9</v>
      </c>
      <c r="D8" s="1" t="s">
        <v>89</v>
      </c>
      <c r="E8" s="1" t="s">
        <v>89</v>
      </c>
      <c r="F8" s="1">
        <f ca="1" t="shared" ref="F8:F13" si="0">-RANDBETWEEN(15,500)</f>
        <v>-330</v>
      </c>
      <c r="G8" s="1">
        <v>-1609</v>
      </c>
      <c r="H8" s="1">
        <f ca="1">G8-F8</f>
        <v>-1279</v>
      </c>
      <c r="I8" s="1"/>
      <c r="K8" t="s">
        <v>90</v>
      </c>
      <c r="M8">
        <f>SUM(G8:G14)</f>
        <v>-14662.4</v>
      </c>
    </row>
    <row r="9" spans="2:13">
      <c r="B9" s="1">
        <v>2</v>
      </c>
      <c r="C9" t="s">
        <v>11</v>
      </c>
      <c r="D9" t="s">
        <v>91</v>
      </c>
      <c r="E9" t="s">
        <v>91</v>
      </c>
      <c r="F9" s="1">
        <f ca="1" t="shared" si="0"/>
        <v>-50</v>
      </c>
      <c r="G9" s="1">
        <v>-1500.4</v>
      </c>
      <c r="H9" s="1">
        <f ca="1">G9-F9</f>
        <v>-1450.4</v>
      </c>
      <c r="I9" s="1"/>
      <c r="K9" t="s">
        <v>92</v>
      </c>
      <c r="M9">
        <f ca="1">SUM(H8:H14)</f>
        <v>-6257.4</v>
      </c>
    </row>
    <row r="10" spans="2:13">
      <c r="B10" s="1">
        <v>3</v>
      </c>
      <c r="C10" t="s">
        <v>12</v>
      </c>
      <c r="D10" s="1" t="s">
        <v>29</v>
      </c>
      <c r="E10" s="1" t="s">
        <v>30</v>
      </c>
      <c r="F10" s="1">
        <f ca="1" t="shared" si="0"/>
        <v>-224</v>
      </c>
      <c r="G10" s="1">
        <v>-926</v>
      </c>
      <c r="H10" s="1">
        <f ca="1">G10-F10</f>
        <v>-702</v>
      </c>
      <c r="I10" s="1"/>
      <c r="K10" t="s">
        <v>93</v>
      </c>
      <c r="M10">
        <f ca="1">F12+M8</f>
        <v>5504.6</v>
      </c>
    </row>
    <row r="11" spans="3:9">
      <c r="C11" s="1"/>
      <c r="D11" s="1" t="s">
        <v>60</v>
      </c>
      <c r="E11" s="1" t="s">
        <v>60</v>
      </c>
      <c r="F11" s="1">
        <f ca="1" t="shared" si="0"/>
        <v>-495</v>
      </c>
      <c r="G11" s="1">
        <v>-3321</v>
      </c>
      <c r="H11" s="1">
        <f ca="1">G11-F11</f>
        <v>-2826</v>
      </c>
      <c r="I11" s="1"/>
    </row>
    <row r="12" spans="2:13">
      <c r="B12" s="1">
        <v>4</v>
      </c>
      <c r="C12" s="1" t="s">
        <v>13</v>
      </c>
      <c r="D12" s="1" t="s">
        <v>23</v>
      </c>
      <c r="E12" s="1" t="s">
        <v>23</v>
      </c>
      <c r="F12" s="1">
        <f ca="1">RANDBETWEEN(20000,30000)</f>
        <v>20167</v>
      </c>
      <c r="G12" s="1"/>
      <c r="H12" s="1"/>
      <c r="I12" s="1"/>
      <c r="K12" t="s">
        <v>94</v>
      </c>
      <c r="M12">
        <f ca="1">C2+M10</f>
        <v>49506</v>
      </c>
    </row>
    <row r="13" spans="2:9">
      <c r="B13" s="1">
        <v>5</v>
      </c>
      <c r="C13" s="1" t="s">
        <v>15</v>
      </c>
      <c r="D13" s="1" t="s">
        <v>25</v>
      </c>
      <c r="E13" s="1" t="s">
        <v>25</v>
      </c>
      <c r="F13" s="1">
        <f ca="1" t="shared" si="0"/>
        <v>-494</v>
      </c>
      <c r="G13" s="1">
        <v>-7000</v>
      </c>
      <c r="H13" s="1">
        <v>0</v>
      </c>
      <c r="I13" s="1"/>
    </row>
    <row r="14" spans="2:9">
      <c r="B14" s="1">
        <v>6</v>
      </c>
      <c r="C14" t="s">
        <v>16</v>
      </c>
      <c r="D14" t="s">
        <v>95</v>
      </c>
      <c r="E14" t="s">
        <v>96</v>
      </c>
      <c r="F14" s="1">
        <f ca="1">-RANDBETWEEN(15,500)</f>
        <v>-139</v>
      </c>
      <c r="G14" s="1">
        <v>-306</v>
      </c>
      <c r="H14" s="1">
        <v>0</v>
      </c>
      <c r="I14" s="1"/>
    </row>
    <row r="19" spans="1:7">
      <c r="A19" t="s">
        <v>97</v>
      </c>
      <c r="B19" t="s">
        <v>98</v>
      </c>
      <c r="C19" t="s">
        <v>81</v>
      </c>
      <c r="D19" t="s">
        <v>99</v>
      </c>
      <c r="E19" t="s">
        <v>82</v>
      </c>
      <c r="F19" t="s">
        <v>100</v>
      </c>
      <c r="G19" t="s">
        <v>101</v>
      </c>
    </row>
    <row r="20" spans="2:7">
      <c r="B20">
        <v>7000</v>
      </c>
      <c r="C20">
        <f>C2</f>
        <v>44001.4</v>
      </c>
      <c r="D20">
        <f>B20+C20</f>
        <v>51001.4</v>
      </c>
      <c r="E20">
        <f>D2</f>
        <v>49202.5</v>
      </c>
      <c r="F20" t="b">
        <f>E20&gt;=D20</f>
        <v>0</v>
      </c>
      <c r="G20">
        <f ca="1">((M12-D2)/D2)*100</f>
        <v>0.616838575275647</v>
      </c>
    </row>
    <row r="22" spans="4:4">
      <c r="D22" t="s">
        <v>102</v>
      </c>
    </row>
    <row r="23" spans="4:4">
      <c r="D23">
        <f>E20-C20</f>
        <v>5201.1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9"/>
  <sheetViews>
    <sheetView workbookViewId="0">
      <selection activeCell="H35" sqref="H35"/>
    </sheetView>
  </sheetViews>
  <sheetFormatPr defaultColWidth="8.88888888888889" defaultRowHeight="15"/>
  <cols>
    <col min="1" max="1" width="8.88888888888889" style="1"/>
    <col min="2" max="2" width="10.2222222222222" style="1" customWidth="1"/>
    <col min="3" max="3" width="13" style="1" customWidth="1"/>
    <col min="4" max="4" width="16.6666666666667" style="1" customWidth="1"/>
    <col min="5" max="5" width="8.88888888888889" style="1"/>
    <col min="6" max="6" width="6" style="1" customWidth="1"/>
    <col min="7" max="7" width="7.55555555555556" style="1" customWidth="1"/>
    <col min="8" max="8" width="11.6666666666667" style="1" customWidth="1"/>
    <col min="9" max="9" width="8.33333333333333" style="1" customWidth="1"/>
    <col min="10" max="16384" width="8.88888888888889" style="1"/>
  </cols>
  <sheetData>
    <row r="1" spans="1:8">
      <c r="A1" s="1" t="s">
        <v>18</v>
      </c>
      <c r="B1" s="1" t="s">
        <v>0</v>
      </c>
      <c r="C1" s="1" t="s">
        <v>19</v>
      </c>
      <c r="D1" s="1" t="s">
        <v>20</v>
      </c>
      <c r="E1" s="1" t="s">
        <v>21</v>
      </c>
      <c r="F1" s="1" t="s">
        <v>14</v>
      </c>
      <c r="G1" s="1" t="s">
        <v>10</v>
      </c>
      <c r="H1" s="1" t="s">
        <v>22</v>
      </c>
    </row>
    <row r="2" spans="1:8">
      <c r="A2" s="1">
        <v>1</v>
      </c>
      <c r="B2" s="1">
        <v>4</v>
      </c>
      <c r="C2" s="1" t="s">
        <v>103</v>
      </c>
      <c r="D2" s="1" t="s">
        <v>103</v>
      </c>
      <c r="E2" s="1">
        <f ca="1">RANDBETWEEN(20000,30000)</f>
        <v>26843</v>
      </c>
      <c r="F2" s="1">
        <v>1</v>
      </c>
      <c r="H2" t="s">
        <v>104</v>
      </c>
    </row>
    <row r="3" spans="1:8">
      <c r="A3" s="1">
        <v>2</v>
      </c>
      <c r="B3" s="1">
        <v>5</v>
      </c>
      <c r="C3" s="1" t="s">
        <v>105</v>
      </c>
      <c r="D3" s="1" t="s">
        <v>105</v>
      </c>
      <c r="E3" s="1">
        <f ca="1">-RANDBETWEEN(15,500)</f>
        <v>-257</v>
      </c>
      <c r="G3" s="1">
        <v>1</v>
      </c>
      <c r="H3" t="s">
        <v>106</v>
      </c>
    </row>
    <row r="4" spans="1:8">
      <c r="A4" s="1">
        <v>3</v>
      </c>
      <c r="B4" s="1">
        <v>2</v>
      </c>
      <c r="C4" t="s">
        <v>107</v>
      </c>
      <c r="D4" t="s">
        <v>107</v>
      </c>
      <c r="E4" s="1">
        <f ca="1" t="shared" ref="E4:E13" si="0">-RANDBETWEEN(15,500)</f>
        <v>-251</v>
      </c>
      <c r="G4" s="1">
        <v>1</v>
      </c>
      <c r="H4" t="s">
        <v>108</v>
      </c>
    </row>
    <row r="5" spans="1:8">
      <c r="A5" s="1">
        <v>4</v>
      </c>
      <c r="B5" s="1">
        <v>6</v>
      </c>
      <c r="C5" t="s">
        <v>109</v>
      </c>
      <c r="D5" t="s">
        <v>110</v>
      </c>
      <c r="E5" s="1">
        <f ca="1" t="shared" si="0"/>
        <v>-139</v>
      </c>
      <c r="G5" s="1">
        <v>1</v>
      </c>
      <c r="H5" t="s">
        <v>111</v>
      </c>
    </row>
    <row r="6" spans="1:8">
      <c r="A6" s="1">
        <v>5</v>
      </c>
      <c r="B6">
        <v>1</v>
      </c>
      <c r="C6" s="1" t="s">
        <v>9</v>
      </c>
      <c r="D6" t="s">
        <v>44</v>
      </c>
      <c r="E6" s="1">
        <f ca="1" t="shared" si="0"/>
        <v>-245</v>
      </c>
      <c r="G6">
        <v>1</v>
      </c>
      <c r="H6" t="s">
        <v>112</v>
      </c>
    </row>
    <row r="7" spans="1:8">
      <c r="A7" s="1">
        <v>6</v>
      </c>
      <c r="B7">
        <v>1</v>
      </c>
      <c r="C7" s="1" t="s">
        <v>9</v>
      </c>
      <c r="D7" t="s">
        <v>44</v>
      </c>
      <c r="E7" s="1">
        <f ca="1" t="shared" si="0"/>
        <v>-86</v>
      </c>
      <c r="G7">
        <v>1</v>
      </c>
      <c r="H7" t="s">
        <v>113</v>
      </c>
    </row>
    <row r="8" spans="1:8">
      <c r="A8" s="1">
        <v>7</v>
      </c>
      <c r="B8">
        <v>1</v>
      </c>
      <c r="C8" s="1" t="s">
        <v>9</v>
      </c>
      <c r="D8" t="s">
        <v>44</v>
      </c>
      <c r="E8" s="1">
        <f ca="1" t="shared" si="0"/>
        <v>-417</v>
      </c>
      <c r="G8">
        <v>1</v>
      </c>
      <c r="H8" t="s">
        <v>114</v>
      </c>
    </row>
    <row r="9" spans="1:8">
      <c r="A9" s="1">
        <v>8</v>
      </c>
      <c r="B9">
        <v>3</v>
      </c>
      <c r="C9" s="1" t="s">
        <v>12</v>
      </c>
      <c r="D9" t="s">
        <v>54</v>
      </c>
      <c r="E9" s="1">
        <f ca="1" t="shared" si="0"/>
        <v>-257</v>
      </c>
      <c r="G9">
        <v>1</v>
      </c>
      <c r="H9" t="s">
        <v>115</v>
      </c>
    </row>
    <row r="10" spans="1:8">
      <c r="A10" s="1">
        <v>9</v>
      </c>
      <c r="B10">
        <v>1</v>
      </c>
      <c r="C10" s="1" t="s">
        <v>9</v>
      </c>
      <c r="D10" t="s">
        <v>44</v>
      </c>
      <c r="E10" s="1">
        <f ca="1" t="shared" si="0"/>
        <v>-305</v>
      </c>
      <c r="G10">
        <v>1</v>
      </c>
      <c r="H10" t="s">
        <v>116</v>
      </c>
    </row>
    <row r="11" spans="1:8">
      <c r="A11" s="1">
        <v>10</v>
      </c>
      <c r="B11">
        <v>1</v>
      </c>
      <c r="C11" s="1" t="s">
        <v>9</v>
      </c>
      <c r="D11" t="s">
        <v>44</v>
      </c>
      <c r="E11" s="1">
        <f ca="1" t="shared" si="0"/>
        <v>-94</v>
      </c>
      <c r="G11">
        <v>1</v>
      </c>
      <c r="H11" t="s">
        <v>117</v>
      </c>
    </row>
    <row r="12" spans="1:8">
      <c r="A12" s="1">
        <v>11</v>
      </c>
      <c r="B12">
        <v>1</v>
      </c>
      <c r="C12" s="1" t="s">
        <v>9</v>
      </c>
      <c r="D12" t="s">
        <v>44</v>
      </c>
      <c r="E12" s="1">
        <f ca="1" t="shared" si="0"/>
        <v>-250</v>
      </c>
      <c r="G12">
        <v>1</v>
      </c>
      <c r="H12" t="s">
        <v>118</v>
      </c>
    </row>
    <row r="13" spans="1:8">
      <c r="A13" s="1">
        <v>12</v>
      </c>
      <c r="B13">
        <v>1</v>
      </c>
      <c r="C13" s="1" t="s">
        <v>9</v>
      </c>
      <c r="D13" t="s">
        <v>44</v>
      </c>
      <c r="E13" s="1">
        <f ca="1" t="shared" si="0"/>
        <v>-244</v>
      </c>
      <c r="G13">
        <v>1</v>
      </c>
      <c r="H13" t="s">
        <v>119</v>
      </c>
    </row>
    <row r="14" spans="1:8">
      <c r="A14" s="1">
        <v>13</v>
      </c>
      <c r="B14">
        <v>1</v>
      </c>
      <c r="C14" s="1" t="s">
        <v>9</v>
      </c>
      <c r="D14" t="s">
        <v>44</v>
      </c>
      <c r="E14" s="1">
        <f ca="1" t="shared" ref="E14:E23" si="1">-RANDBETWEEN(15,500)</f>
        <v>-207</v>
      </c>
      <c r="G14">
        <v>1</v>
      </c>
      <c r="H14" t="s">
        <v>120</v>
      </c>
    </row>
    <row r="15" spans="1:8">
      <c r="A15" s="1">
        <v>14</v>
      </c>
      <c r="B15">
        <v>1</v>
      </c>
      <c r="C15" s="1" t="s">
        <v>9</v>
      </c>
      <c r="D15" t="s">
        <v>44</v>
      </c>
      <c r="E15" s="1">
        <f ca="1" t="shared" si="1"/>
        <v>-257</v>
      </c>
      <c r="G15">
        <v>1</v>
      </c>
      <c r="H15" t="s">
        <v>121</v>
      </c>
    </row>
    <row r="16" spans="1:8">
      <c r="A16" s="1">
        <v>15</v>
      </c>
      <c r="B16">
        <v>1</v>
      </c>
      <c r="C16" s="1" t="s">
        <v>9</v>
      </c>
      <c r="D16" t="s">
        <v>122</v>
      </c>
      <c r="E16" s="1">
        <f ca="1" t="shared" si="1"/>
        <v>-23</v>
      </c>
      <c r="G16">
        <v>1</v>
      </c>
      <c r="H16" t="s">
        <v>123</v>
      </c>
    </row>
    <row r="17" spans="1:8">
      <c r="A17" s="1">
        <v>16</v>
      </c>
      <c r="B17">
        <v>3</v>
      </c>
      <c r="C17" s="1" t="s">
        <v>12</v>
      </c>
      <c r="D17" t="s">
        <v>124</v>
      </c>
      <c r="E17" s="1">
        <f ca="1" t="shared" si="1"/>
        <v>-397</v>
      </c>
      <c r="G17">
        <v>1</v>
      </c>
      <c r="H17" t="s">
        <v>125</v>
      </c>
    </row>
    <row r="18" spans="1:8">
      <c r="A18" s="1">
        <v>17</v>
      </c>
      <c r="B18">
        <v>1</v>
      </c>
      <c r="C18" s="1" t="s">
        <v>9</v>
      </c>
      <c r="D18" t="s">
        <v>44</v>
      </c>
      <c r="E18" s="1">
        <f ca="1" t="shared" si="1"/>
        <v>-207</v>
      </c>
      <c r="G18">
        <v>1</v>
      </c>
      <c r="H18" t="s">
        <v>126</v>
      </c>
    </row>
    <row r="19" spans="1:8">
      <c r="A19" s="1">
        <v>18</v>
      </c>
      <c r="B19">
        <v>1</v>
      </c>
      <c r="C19" s="1" t="s">
        <v>9</v>
      </c>
      <c r="D19" t="s">
        <v>44</v>
      </c>
      <c r="E19" s="1">
        <f ca="1" t="shared" si="1"/>
        <v>-135</v>
      </c>
      <c r="G19">
        <v>1</v>
      </c>
      <c r="H19" t="s">
        <v>127</v>
      </c>
    </row>
    <row r="20" spans="1:8">
      <c r="A20" s="1">
        <v>19</v>
      </c>
      <c r="B20">
        <v>3</v>
      </c>
      <c r="C20" s="1" t="s">
        <v>12</v>
      </c>
      <c r="D20" t="s">
        <v>128</v>
      </c>
      <c r="E20" s="1">
        <f ca="1" t="shared" si="1"/>
        <v>-445</v>
      </c>
      <c r="G20">
        <v>1</v>
      </c>
      <c r="H20" t="s">
        <v>129</v>
      </c>
    </row>
    <row r="21" spans="1:8">
      <c r="A21" s="1">
        <v>20</v>
      </c>
      <c r="B21">
        <v>1</v>
      </c>
      <c r="C21" s="1" t="s">
        <v>9</v>
      </c>
      <c r="D21" t="s">
        <v>44</v>
      </c>
      <c r="E21" s="1">
        <f ca="1" t="shared" si="1"/>
        <v>-484</v>
      </c>
      <c r="G21">
        <v>1</v>
      </c>
      <c r="H21" t="s">
        <v>130</v>
      </c>
    </row>
    <row r="22" spans="1:8">
      <c r="A22" s="1">
        <v>21</v>
      </c>
      <c r="B22" s="1">
        <v>6</v>
      </c>
      <c r="C22" t="s">
        <v>109</v>
      </c>
      <c r="D22" s="1" t="s">
        <v>65</v>
      </c>
      <c r="E22" s="1">
        <f ca="1" t="shared" si="1"/>
        <v>-448</v>
      </c>
      <c r="G22" s="1">
        <v>1</v>
      </c>
      <c r="H22" s="1" t="s">
        <v>131</v>
      </c>
    </row>
    <row r="23" spans="1:8">
      <c r="A23" s="1">
        <v>22</v>
      </c>
      <c r="B23">
        <v>1</v>
      </c>
      <c r="C23" s="1" t="s">
        <v>9</v>
      </c>
      <c r="D23" t="s">
        <v>44</v>
      </c>
      <c r="E23" s="1">
        <f ca="1" t="shared" si="1"/>
        <v>-280</v>
      </c>
      <c r="G23">
        <v>1</v>
      </c>
      <c r="H23" t="s">
        <v>132</v>
      </c>
    </row>
    <row r="24" spans="1:8">
      <c r="A24" s="1">
        <v>23</v>
      </c>
      <c r="B24">
        <v>1</v>
      </c>
      <c r="C24" s="1" t="s">
        <v>9</v>
      </c>
      <c r="D24" t="s">
        <v>133</v>
      </c>
      <c r="E24" s="1">
        <f ca="1" t="shared" ref="E24:E30" si="2">-RANDBETWEEN(15,500)</f>
        <v>-454</v>
      </c>
      <c r="G24">
        <v>1</v>
      </c>
      <c r="H24" t="s">
        <v>134</v>
      </c>
    </row>
    <row r="25" spans="1:8">
      <c r="A25" s="1">
        <v>24</v>
      </c>
      <c r="B25">
        <v>3</v>
      </c>
      <c r="C25" s="1" t="s">
        <v>12</v>
      </c>
      <c r="D25" t="s">
        <v>135</v>
      </c>
      <c r="E25" s="1">
        <f ca="1" t="shared" si="2"/>
        <v>-330</v>
      </c>
      <c r="G25">
        <v>1</v>
      </c>
      <c r="H25" t="s">
        <v>134</v>
      </c>
    </row>
    <row r="26" spans="1:8">
      <c r="A26" s="1">
        <v>25</v>
      </c>
      <c r="B26">
        <v>1</v>
      </c>
      <c r="C26" s="1" t="s">
        <v>9</v>
      </c>
      <c r="D26" t="s">
        <v>44</v>
      </c>
      <c r="E26" s="1">
        <f ca="1" t="shared" si="2"/>
        <v>-27</v>
      </c>
      <c r="G26">
        <v>1</v>
      </c>
      <c r="H26" t="s">
        <v>136</v>
      </c>
    </row>
    <row r="27" spans="1:8">
      <c r="A27" s="1">
        <v>26</v>
      </c>
      <c r="B27">
        <v>1</v>
      </c>
      <c r="C27" s="1" t="s">
        <v>9</v>
      </c>
      <c r="D27" t="s">
        <v>44</v>
      </c>
      <c r="E27" s="1">
        <f ca="1" t="shared" si="2"/>
        <v>-92</v>
      </c>
      <c r="G27">
        <v>1</v>
      </c>
      <c r="H27" t="s">
        <v>137</v>
      </c>
    </row>
    <row r="28" spans="1:8">
      <c r="A28" s="1">
        <v>27</v>
      </c>
      <c r="B28">
        <v>1</v>
      </c>
      <c r="C28" s="1" t="s">
        <v>9</v>
      </c>
      <c r="D28" t="s">
        <v>75</v>
      </c>
      <c r="E28" s="1">
        <f ca="1" t="shared" si="2"/>
        <v>-336</v>
      </c>
      <c r="G28">
        <v>1</v>
      </c>
      <c r="H28" t="s">
        <v>138</v>
      </c>
    </row>
    <row r="29" spans="1:8">
      <c r="A29" s="1">
        <v>28</v>
      </c>
      <c r="B29">
        <v>1</v>
      </c>
      <c r="C29" s="1" t="s">
        <v>9</v>
      </c>
      <c r="D29" t="s">
        <v>41</v>
      </c>
      <c r="E29" s="1">
        <f ca="1" t="shared" si="2"/>
        <v>-92</v>
      </c>
      <c r="G29">
        <v>1</v>
      </c>
      <c r="H29" t="s">
        <v>139</v>
      </c>
    </row>
    <row r="30" spans="1:8">
      <c r="A30" s="1">
        <v>29</v>
      </c>
      <c r="B30">
        <v>1</v>
      </c>
      <c r="C30" s="1" t="s">
        <v>9</v>
      </c>
      <c r="D30" t="s">
        <v>41</v>
      </c>
      <c r="E30" s="1">
        <f ca="1" t="shared" si="2"/>
        <v>-425</v>
      </c>
      <c r="G30">
        <v>1</v>
      </c>
      <c r="H30" t="s">
        <v>140</v>
      </c>
    </row>
    <row r="42" spans="2:8">
      <c r="B42"/>
      <c r="D42"/>
      <c r="E42"/>
      <c r="F42"/>
      <c r="G42"/>
      <c r="H42"/>
    </row>
    <row r="43" spans="2:9">
      <c r="B43"/>
      <c r="C43"/>
      <c r="D43"/>
      <c r="E43"/>
      <c r="F43"/>
      <c r="G43"/>
      <c r="H43"/>
      <c r="I43"/>
    </row>
    <row r="44" spans="2:2">
      <c r="B44"/>
    </row>
    <row r="45" spans="2:9">
      <c r="B45"/>
      <c r="C45"/>
      <c r="D45"/>
      <c r="E45"/>
      <c r="F45"/>
      <c r="G45"/>
      <c r="H45"/>
      <c r="I45"/>
    </row>
    <row r="46" spans="2:2">
      <c r="B46"/>
    </row>
    <row r="47" spans="2:2">
      <c r="B47"/>
    </row>
    <row r="48" spans="2:2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tabSelected="1" workbookViewId="0">
      <selection activeCell="H23" sqref="H23"/>
    </sheetView>
  </sheetViews>
  <sheetFormatPr defaultColWidth="8.88888888888889" defaultRowHeight="15"/>
  <cols>
    <col min="1" max="1" width="15.2222222222222" customWidth="1"/>
    <col min="2" max="3" width="13.3333333333333" customWidth="1"/>
    <col min="4" max="4" width="11.5555555555556" customWidth="1"/>
    <col min="5" max="5" width="10.6666666666667" customWidth="1"/>
    <col min="6" max="6" width="8.77777777777778" customWidth="1"/>
    <col min="7" max="7" width="11" customWidth="1"/>
    <col min="8" max="8" width="8.77777777777778" customWidth="1"/>
    <col min="11" max="11" width="10.6666666666667" customWidth="1"/>
    <col min="12" max="12" width="12.8888888888889" customWidth="1"/>
    <col min="13" max="13" width="9.22222222222222"/>
    <col min="17" max="18" width="12.4444444444444"/>
  </cols>
  <sheetData>
    <row r="1" spans="1:5">
      <c r="A1" t="s">
        <v>79</v>
      </c>
      <c r="B1" t="s">
        <v>80</v>
      </c>
      <c r="C1" t="s">
        <v>81</v>
      </c>
      <c r="D1" t="s">
        <v>82</v>
      </c>
      <c r="E1" t="s">
        <v>83</v>
      </c>
    </row>
    <row r="2" spans="2:5">
      <c r="B2">
        <v>2506</v>
      </c>
      <c r="C2">
        <v>49202.5</v>
      </c>
      <c r="D2">
        <v>55680.76</v>
      </c>
      <c r="E2">
        <v>55680.76</v>
      </c>
    </row>
    <row r="7" spans="1:9">
      <c r="A7" t="s">
        <v>84</v>
      </c>
      <c r="B7" s="1" t="s">
        <v>0</v>
      </c>
      <c r="C7" s="1" t="s">
        <v>85</v>
      </c>
      <c r="D7" s="1" t="s">
        <v>86</v>
      </c>
      <c r="E7" s="1" t="s">
        <v>20</v>
      </c>
      <c r="F7" s="1" t="s">
        <v>21</v>
      </c>
      <c r="G7" s="1" t="s">
        <v>87</v>
      </c>
      <c r="H7" s="1" t="s">
        <v>88</v>
      </c>
      <c r="I7" s="1"/>
    </row>
    <row r="8" spans="2:13">
      <c r="B8" s="1">
        <v>1</v>
      </c>
      <c r="C8" t="s">
        <v>9</v>
      </c>
      <c r="D8" s="1" t="s">
        <v>141</v>
      </c>
      <c r="E8" s="1" t="s">
        <v>141</v>
      </c>
      <c r="F8" s="1">
        <f ca="1" t="shared" ref="F8:F11" si="0">-RANDBETWEEN(15,500)</f>
        <v>-138</v>
      </c>
      <c r="G8" s="1">
        <v>-1916</v>
      </c>
      <c r="H8" s="1">
        <f ca="1">G8-F8</f>
        <v>-1778</v>
      </c>
      <c r="I8" s="1"/>
      <c r="K8" t="s">
        <v>90</v>
      </c>
      <c r="M8">
        <f>SUM(G8:G13)</f>
        <v>-11145.4</v>
      </c>
    </row>
    <row r="9" spans="2:13">
      <c r="B9" s="1">
        <v>2</v>
      </c>
      <c r="C9" t="s">
        <v>11</v>
      </c>
      <c r="D9" t="s">
        <v>107</v>
      </c>
      <c r="E9" t="s">
        <v>107</v>
      </c>
      <c r="F9" s="1">
        <f ca="1" t="shared" si="0"/>
        <v>-224</v>
      </c>
      <c r="G9" s="1">
        <v>-1500.4</v>
      </c>
      <c r="H9" s="1">
        <f ca="1">G9-F9</f>
        <v>-1276.4</v>
      </c>
      <c r="I9" s="1"/>
      <c r="K9" t="s">
        <v>142</v>
      </c>
      <c r="M9">
        <f ca="1">SUM(H8:H13)</f>
        <v>-36975.4</v>
      </c>
    </row>
    <row r="10" spans="2:13">
      <c r="B10" s="1">
        <v>3</v>
      </c>
      <c r="C10" t="s">
        <v>12</v>
      </c>
      <c r="D10" s="1" t="s">
        <v>12</v>
      </c>
      <c r="E10" s="1" t="s">
        <v>12</v>
      </c>
      <c r="F10" s="1">
        <f ca="1" t="shared" si="0"/>
        <v>-122</v>
      </c>
      <c r="G10" s="1">
        <v>-423</v>
      </c>
      <c r="H10" s="1">
        <f ca="1">G10-F10</f>
        <v>-301</v>
      </c>
      <c r="I10" s="1"/>
      <c r="K10" t="s">
        <v>93</v>
      </c>
      <c r="M10">
        <f ca="1">F11+M8</f>
        <v>-11586.4</v>
      </c>
    </row>
    <row r="11" spans="2:9">
      <c r="B11" s="1">
        <v>4</v>
      </c>
      <c r="C11" s="1" t="s">
        <v>13</v>
      </c>
      <c r="D11" s="1" t="s">
        <v>103</v>
      </c>
      <c r="E11" s="1" t="s">
        <v>103</v>
      </c>
      <c r="F11" s="1">
        <f ca="1" t="shared" si="0"/>
        <v>-441</v>
      </c>
      <c r="G11" s="1"/>
      <c r="H11" s="1"/>
      <c r="I11" s="1"/>
    </row>
    <row r="12" spans="2:13">
      <c r="B12" s="1">
        <v>5</v>
      </c>
      <c r="C12" s="1" t="s">
        <v>15</v>
      </c>
      <c r="D12" s="1" t="s">
        <v>105</v>
      </c>
      <c r="E12" s="1" t="s">
        <v>105</v>
      </c>
      <c r="F12" s="1">
        <f ca="1">RANDBETWEEN(20000,30000)</f>
        <v>26765</v>
      </c>
      <c r="G12" s="1">
        <v>-7000</v>
      </c>
      <c r="H12" s="1">
        <f ca="1">G12-F12</f>
        <v>-33765</v>
      </c>
      <c r="I12" s="1"/>
      <c r="K12" t="s">
        <v>94</v>
      </c>
      <c r="M12">
        <f ca="1">C2+M10</f>
        <v>37616.1</v>
      </c>
    </row>
    <row r="13" spans="2:9">
      <c r="B13" s="1">
        <v>6</v>
      </c>
      <c r="C13" t="s">
        <v>16</v>
      </c>
      <c r="D13" t="s">
        <v>143</v>
      </c>
      <c r="E13" t="s">
        <v>96</v>
      </c>
      <c r="F13" s="1">
        <f ca="1">-RANDBETWEEN(15,500)</f>
        <v>-451</v>
      </c>
      <c r="G13" s="1">
        <v>-306</v>
      </c>
      <c r="H13" s="1">
        <f ca="1">G13-F13</f>
        <v>145</v>
      </c>
      <c r="I13" s="1"/>
    </row>
    <row r="14" spans="6:9">
      <c r="F14" s="1">
        <f ca="1">-RANDBETWEEN(15,500)</f>
        <v>-320</v>
      </c>
      <c r="I14" s="1"/>
    </row>
    <row r="19" spans="1:7">
      <c r="A19" t="s">
        <v>97</v>
      </c>
      <c r="B19" t="s">
        <v>98</v>
      </c>
      <c r="C19" t="s">
        <v>81</v>
      </c>
      <c r="D19" t="s">
        <v>99</v>
      </c>
      <c r="E19" t="s">
        <v>82</v>
      </c>
      <c r="F19" t="s">
        <v>100</v>
      </c>
      <c r="G19" t="s">
        <v>101</v>
      </c>
    </row>
    <row r="20" spans="2:7">
      <c r="B20">
        <v>7000</v>
      </c>
      <c r="C20">
        <f>C2</f>
        <v>49202.5</v>
      </c>
      <c r="D20">
        <f>B20+C20</f>
        <v>56202.5</v>
      </c>
      <c r="E20">
        <f>D2</f>
        <v>55680.76</v>
      </c>
      <c r="F20" t="b">
        <f>E20&gt;=D20</f>
        <v>0</v>
      </c>
      <c r="G20">
        <f ca="1">((M12-D2)/D2)*100</f>
        <v>-32.4432712484528</v>
      </c>
    </row>
    <row r="22" spans="4:4">
      <c r="D22" t="s">
        <v>102</v>
      </c>
    </row>
    <row r="23" spans="4:4">
      <c r="D23">
        <f>E20-C20</f>
        <v>6478.26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param</vt:lpstr>
      <vt:lpstr>2505_full</vt:lpstr>
      <vt:lpstr>2505_rep</vt:lpstr>
      <vt:lpstr>2506_full</vt:lpstr>
      <vt:lpstr>2506_rep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</dc:creator>
  <cp:lastModifiedBy>lkm</cp:lastModifiedBy>
  <dcterms:created xsi:type="dcterms:W3CDTF">2025-08-05T18:28:00Z</dcterms:created>
  <dcterms:modified xsi:type="dcterms:W3CDTF">2026-04-25T18:31:07Z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1033-11.1.0.11698</vt:lpwstr>
  </property>
</Properties>
</file>